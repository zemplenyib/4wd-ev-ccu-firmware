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Munka1" sheetId="1" r:id="rId1"/>
  </sheets>
  <calcPr calcId="152511"/>
</workbook>
</file>

<file path=xl/calcChain.xml><?xml version="1.0" encoding="utf-8"?>
<calcChain xmlns="http://schemas.openxmlformats.org/spreadsheetml/2006/main">
  <c r="B2" i="1" l="1"/>
  <c r="D2" i="1" s="1"/>
  <c r="G2" i="1"/>
  <c r="J2" i="1" s="1"/>
  <c r="H2" i="1" l="1"/>
  <c r="I2" i="1" s="1"/>
</calcChain>
</file>

<file path=xl/sharedStrings.xml><?xml version="1.0" encoding="utf-8"?>
<sst xmlns="http://schemas.openxmlformats.org/spreadsheetml/2006/main" count="10" uniqueCount="10">
  <si>
    <t>Clock f(Hz)</t>
  </si>
  <si>
    <t>APB1 f(Hz)</t>
  </si>
  <si>
    <t>Prescaler</t>
  </si>
  <si>
    <t>Time Quantum (us)</t>
  </si>
  <si>
    <t>Bit f(Hz)</t>
  </si>
  <si>
    <t>Bit Time (us)</t>
  </si>
  <si>
    <t>Sample p %</t>
  </si>
  <si>
    <t>BS1 (#q)</t>
  </si>
  <si>
    <t>BS2 (#q)</t>
  </si>
  <si>
    <t>BS (#q)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</si>
</sst>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0"/>
    <numFmt numFmtId="165" formatCode="0.0000"/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B7" sqref="B7"/>
    </sheetView>
  </sheetViews>
  <sheetFormatPr defaultRowHeight="15" x14ac:dyDescent="0.25"/>
  <cols>
    <col min="1" max="1" width="11.140625" bestFit="1" customWidth="1"/>
    <col min="2" max="2" width="12.28515625" customWidth="1"/>
    <col min="3" max="3" width="13.5703125" customWidth="1"/>
    <col min="4" max="4" width="19.42578125" customWidth="1"/>
    <col min="5" max="5" width="11.42578125" customWidth="1"/>
    <col min="6" max="6" width="11.7109375" customWidth="1"/>
    <col min="7" max="8" width="12.85546875" customWidth="1"/>
    <col min="9" max="9" width="13.7109375" customWidth="1"/>
    <col min="10" max="10" width="12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9</v>
      </c>
      <c r="H1" s="1" t="s">
        <v>5</v>
      </c>
      <c r="I1" s="1" t="s">
        <v>4</v>
      </c>
      <c r="J1" s="1" t="s">
        <v>6</v>
      </c>
    </row>
    <row r="2" spans="1:10" x14ac:dyDescent="0.25">
      <c r="A2" s="2">
        <v>180000000</v>
      </c>
      <c r="B2" s="2">
        <f>A2/4</f>
        <v>45000000</v>
      </c>
      <c r="C2" s="3">
        <v>6</v>
      </c>
      <c r="D2" s="4">
        <f>1000000*C2/B2</f>
        <v>0.13333333333333333</v>
      </c>
      <c r="E2" s="3">
        <v>12</v>
      </c>
      <c r="F2" s="3">
        <v>2</v>
      </c>
      <c r="G2" s="3">
        <f>E2+F2+1</f>
        <v>15</v>
      </c>
      <c r="H2" s="7">
        <f>D2*G2</f>
        <v>2</v>
      </c>
      <c r="I2" s="5">
        <f>1000000/H2</f>
        <v>500000</v>
      </c>
      <c r="J2" s="6">
        <f>100*(E2+1)/G2</f>
        <v>86.666666666666671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2019-05-01T08:26:01Z</dcterms:modified>
</cp:coreProperties>
</file>